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uliah\"/>
    </mc:Choice>
  </mc:AlternateContent>
  <xr:revisionPtr revIDLastSave="0" documentId="13_ncr:1_{5EB823D6-DDC5-4A16-8622-5C6152FFF6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" i="1" l="1"/>
  <c r="Q11" i="1" s="1"/>
  <c r="Q12" i="1" s="1"/>
  <c r="Q13" i="1" s="1"/>
  <c r="Q14" i="1" s="1"/>
  <c r="Q15" i="1" s="1"/>
  <c r="S9" i="1"/>
  <c r="T9" i="1" s="1"/>
  <c r="H9" i="2"/>
  <c r="H10" i="2" s="1"/>
  <c r="H11" i="2" s="1"/>
  <c r="H12" i="2" s="1"/>
  <c r="H13" i="2" s="1"/>
  <c r="H14" i="2" s="1"/>
  <c r="J8" i="2"/>
  <c r="I9" i="2" s="1"/>
  <c r="J9" i="2" s="1"/>
  <c r="D5" i="1"/>
  <c r="C6" i="1"/>
  <c r="E6" i="1" s="1"/>
  <c r="R10" i="1" l="1"/>
  <c r="S10" i="1" s="1"/>
  <c r="K9" i="2"/>
  <c r="I10" i="2"/>
  <c r="J10" i="2" s="1"/>
  <c r="K8" i="2"/>
  <c r="C7" i="1"/>
  <c r="D6" i="1"/>
  <c r="R11" i="1" l="1"/>
  <c r="S11" i="1" s="1"/>
  <c r="T10" i="1"/>
  <c r="K10" i="2"/>
  <c r="I11" i="2"/>
  <c r="J11" i="2" s="1"/>
  <c r="D7" i="1"/>
  <c r="C8" i="1"/>
  <c r="E7" i="1"/>
  <c r="E8" i="1" s="1"/>
  <c r="R12" i="1" l="1"/>
  <c r="S12" i="1" s="1"/>
  <c r="T11" i="1"/>
  <c r="I12" i="2"/>
  <c r="J12" i="2" s="1"/>
  <c r="K11" i="2"/>
  <c r="C9" i="1"/>
  <c r="E9" i="1" s="1"/>
  <c r="D8" i="1"/>
  <c r="T12" i="1" l="1"/>
  <c r="R13" i="1"/>
  <c r="S13" i="1" s="1"/>
  <c r="K12" i="2"/>
  <c r="I13" i="2"/>
  <c r="J13" i="2" s="1"/>
  <c r="D9" i="1"/>
  <c r="C10" i="1"/>
  <c r="E10" i="1"/>
  <c r="R14" i="1" l="1"/>
  <c r="S14" i="1" s="1"/>
  <c r="T13" i="1"/>
  <c r="K13" i="2"/>
  <c r="I14" i="2"/>
  <c r="J14" i="2" s="1"/>
  <c r="K14" i="2" s="1"/>
  <c r="C11" i="1"/>
  <c r="D10" i="1"/>
  <c r="R15" i="1" l="1"/>
  <c r="S15" i="1" s="1"/>
  <c r="T15" i="1" s="1"/>
  <c r="T14" i="1"/>
  <c r="C12" i="1"/>
  <c r="D11" i="1"/>
  <c r="E11" i="1"/>
  <c r="E12" i="1" s="1"/>
  <c r="C13" i="1" l="1"/>
  <c r="D12" i="1"/>
  <c r="C14" i="1" l="1"/>
  <c r="D13" i="1"/>
  <c r="E13" i="1"/>
  <c r="E14" i="1" s="1"/>
  <c r="C15" i="1" l="1"/>
  <c r="D14" i="1"/>
  <c r="C16" i="1" l="1"/>
  <c r="D15" i="1"/>
  <c r="E15" i="1"/>
  <c r="E16" i="1" s="1"/>
  <c r="C17" i="1" l="1"/>
  <c r="D17" i="1" s="1"/>
  <c r="D16" i="1"/>
  <c r="E17" i="1" l="1"/>
</calcChain>
</file>

<file path=xl/sharedStrings.xml><?xml version="1.0" encoding="utf-8"?>
<sst xmlns="http://schemas.openxmlformats.org/spreadsheetml/2006/main" count="13" uniqueCount="9">
  <si>
    <t>t(s)</t>
  </si>
  <si>
    <t>v analitik</t>
  </si>
  <si>
    <t>v numerik</t>
  </si>
  <si>
    <t>r</t>
  </si>
  <si>
    <t>xr</t>
  </si>
  <si>
    <t>xr+1</t>
  </si>
  <si>
    <t>εRA</t>
  </si>
  <si>
    <t>PERTEMUAN 2</t>
  </si>
  <si>
    <t>PERTEMUAN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</si>
</sst>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</a:t>
            </a:r>
            <a:r>
              <a:rPr lang="en-ID" baseline="0"/>
              <a:t> kecepatan terhadap waktu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2243765903307888"/>
          <c:w val="0.89019685039370078"/>
          <c:h val="0.576776662459177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v analitik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Sheet1!$C$5:$C$17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Sheet1!$D$5:$D$17</c:f>
              <c:numCache>
                <c:formatCode>General</c:formatCode>
                <c:ptCount val="13"/>
                <c:pt idx="0">
                  <c:v>0</c:v>
                </c:pt>
                <c:pt idx="1">
                  <c:v>8.9613397491787019</c:v>
                </c:pt>
                <c:pt idx="2">
                  <c:v>16.419954758458253</c:v>
                </c:pt>
                <c:pt idx="3">
                  <c:v>22.627836549989354</c:v>
                </c:pt>
                <c:pt idx="4">
                  <c:v>27.794720252885529</c:v>
                </c:pt>
                <c:pt idx="5">
                  <c:v>32.095170566819363</c:v>
                </c:pt>
                <c:pt idx="6">
                  <c:v>35.67447948221983</c:v>
                </c:pt>
                <c:pt idx="7">
                  <c:v>38.653575013298301</c:v>
                </c:pt>
                <c:pt idx="8">
                  <c:v>41.133106786905692</c:v>
                </c:pt>
                <c:pt idx="9">
                  <c:v>43.196846520053143</c:v>
                </c:pt>
                <c:pt idx="10">
                  <c:v>44.914518272238503</c:v>
                </c:pt>
                <c:pt idx="11">
                  <c:v>46.344154093493849</c:v>
                </c:pt>
                <c:pt idx="12">
                  <c:v>47.534054654422377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A2-4C35-A7B5-BD6161798A7B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v numerik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Sheet1!$C$5:$C$17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Sheet1!$E$5:$E$17</c:f>
              <c:numCache>
                <c:formatCode>General</c:formatCode>
                <c:ptCount val="13"/>
                <c:pt idx="0">
                  <c:v>0</c:v>
                </c:pt>
                <c:pt idx="1">
                  <c:v>9.81</c:v>
                </c:pt>
                <c:pt idx="2">
                  <c:v>17.819339207048458</c:v>
                </c:pt>
                <c:pt idx="3">
                  <c:v>24.358535387839858</c:v>
                </c:pt>
                <c:pt idx="4">
                  <c:v>29.697438583904496</c:v>
                </c:pt>
                <c:pt idx="5">
                  <c:v>34.056366890823639</c:v>
                </c:pt>
                <c:pt idx="6">
                  <c:v>37.615198225107115</c:v>
                </c:pt>
                <c:pt idx="7">
                  <c:v>40.520793264551479</c:v>
                </c:pt>
                <c:pt idx="8">
                  <c:v>42.893055881190342</c:v>
                </c:pt>
                <c:pt idx="9">
                  <c:v>44.829881159973318</c:v>
                </c:pt>
                <c:pt idx="10">
                  <c:v>46.411195190815221</c:v>
                </c:pt>
                <c:pt idx="11">
                  <c:v>47.702253342280855</c:v>
                </c:pt>
                <c:pt idx="12">
                  <c:v>48.756333125268952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A2-4C35-A7B5-BD6161798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606911"/>
        <c:axId val="824605951"/>
      </c:scatterChart>
      <c:valAx>
        <c:axId val="82460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605951"/>
        <c:crosses val="autoZero"/>
        <c:crossBetween val="midCat"/>
      </c:valAx>
      <c:valAx>
        <c:axId val="8246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606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411480</xdr:colOff>
      <xdr:row>2</xdr:row>
      <xdr:rowOff>156210</xdr:rowOff>
    </xdr:from>
    <xdr:to>
      <xdr:col>13</xdr:col>
      <xdr:colOff>106680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A7E56-F903-B921-A542-589F549F2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T17"/>
  <sheetViews>
    <sheetView tabSelected="1" topLeftCell="B1" workbookViewId="0">
      <selection activeCell="S25" sqref="S25"/>
    </sheetView>
  </sheetViews>
  <sheetFormatPr defaultRowHeight="14.4" x14ac:dyDescent="0.3"/>
  <cols>
    <col min="1" max="6" width="8.88671875" style="1"/>
    <col min="7" max="7" width="8.88671875" style="1" customWidth="1"/>
    <col min="8" max="16384" width="8.88671875" style="1"/>
  </cols>
  <sheetData>
    <row r="2" spans="3:20" ht="14.4" customHeight="1" x14ac:dyDescent="0.3">
      <c r="C2" s="14" t="s">
        <v>7</v>
      </c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3:20" x14ac:dyDescent="0.3">
      <c r="C4" s="2" t="s">
        <v>0</v>
      </c>
      <c r="D4" s="2" t="s">
        <v>1</v>
      </c>
      <c r="E4" s="2" t="s">
        <v>2</v>
      </c>
    </row>
    <row r="5" spans="3:20" x14ac:dyDescent="0.3">
      <c r="C5" s="6">
        <v>0</v>
      </c>
      <c r="D5" s="3">
        <f>53.44*(1-EXP(-0.18355*C5))</f>
        <v>0</v>
      </c>
      <c r="E5" s="6">
        <v>0</v>
      </c>
    </row>
    <row r="6" spans="3:20" ht="14.4" customHeight="1" x14ac:dyDescent="0.3">
      <c r="C6" s="7">
        <f>C5+1</f>
        <v>1</v>
      </c>
      <c r="D6" s="4">
        <f t="shared" ref="D6:D17" si="0">53.44*(1-EXP(-0.18355*C6))</f>
        <v>8.9613397491787019</v>
      </c>
      <c r="E6" s="7">
        <f>E5+(9.81-(12.5/68.1)*E5)*(C6-C5)</f>
        <v>9.81</v>
      </c>
      <c r="Q6" s="13" t="s">
        <v>8</v>
      </c>
      <c r="R6" s="13"/>
      <c r="S6" s="13"/>
      <c r="T6" s="13"/>
    </row>
    <row r="7" spans="3:20" x14ac:dyDescent="0.3">
      <c r="C7" s="7">
        <f t="shared" ref="C7:C17" si="1">C6+1</f>
        <v>2</v>
      </c>
      <c r="D7" s="4">
        <f t="shared" si="0"/>
        <v>16.419954758458253</v>
      </c>
      <c r="E7" s="7">
        <f t="shared" ref="E7:E17" si="2">E6+(9.81-(12.5/68.1)*E6)*(C7-C6)</f>
        <v>17.819339207048458</v>
      </c>
    </row>
    <row r="8" spans="3:20" x14ac:dyDescent="0.3">
      <c r="C8" s="7">
        <f t="shared" si="1"/>
        <v>3</v>
      </c>
      <c r="D8" s="4">
        <f t="shared" si="0"/>
        <v>22.627836549989354</v>
      </c>
      <c r="E8" s="7">
        <f t="shared" si="2"/>
        <v>24.358535387839858</v>
      </c>
      <c r="Q8" s="11" t="s">
        <v>3</v>
      </c>
      <c r="R8" s="11" t="s">
        <v>4</v>
      </c>
      <c r="S8" s="12" t="s">
        <v>5</v>
      </c>
      <c r="T8" s="11" t="s">
        <v>6</v>
      </c>
    </row>
    <row r="9" spans="3:20" x14ac:dyDescent="0.3">
      <c r="C9" s="7">
        <f t="shared" si="1"/>
        <v>4</v>
      </c>
      <c r="D9" s="4">
        <f t="shared" si="0"/>
        <v>27.794720252885529</v>
      </c>
      <c r="E9" s="7">
        <f t="shared" si="2"/>
        <v>29.697438583904496</v>
      </c>
      <c r="Q9" s="7">
        <v>0</v>
      </c>
      <c r="R9" s="7">
        <v>0.2</v>
      </c>
      <c r="S9" s="4">
        <f>(R9^2-4)/5</f>
        <v>-0.79200000000000004</v>
      </c>
      <c r="T9" s="7">
        <f>ABS((S9-R9)/S9)</f>
        <v>1.2525252525252524</v>
      </c>
    </row>
    <row r="10" spans="3:20" x14ac:dyDescent="0.3">
      <c r="C10" s="7">
        <f t="shared" si="1"/>
        <v>5</v>
      </c>
      <c r="D10" s="4">
        <f t="shared" si="0"/>
        <v>32.095170566819363</v>
      </c>
      <c r="E10" s="7">
        <f t="shared" si="2"/>
        <v>34.056366890823639</v>
      </c>
      <c r="Q10" s="7">
        <f>Q9+1</f>
        <v>1</v>
      </c>
      <c r="R10" s="7">
        <f>S9</f>
        <v>-0.79200000000000004</v>
      </c>
      <c r="S10" s="4">
        <f>(R10^2-4)/5</f>
        <v>-0.6745471999999999</v>
      </c>
      <c r="T10" s="9">
        <f>ABS((S10-R10)/S10)</f>
        <v>0.1741209510616902</v>
      </c>
    </row>
    <row r="11" spans="3:20" x14ac:dyDescent="0.3">
      <c r="C11" s="7">
        <f t="shared" si="1"/>
        <v>6</v>
      </c>
      <c r="D11" s="4">
        <f t="shared" si="0"/>
        <v>35.67447948221983</v>
      </c>
      <c r="E11" s="7">
        <f t="shared" si="2"/>
        <v>37.615198225107115</v>
      </c>
      <c r="Q11" s="7">
        <f t="shared" ref="Q11:Q13" si="3">Q10+1</f>
        <v>2</v>
      </c>
      <c r="R11" s="7">
        <f t="shared" ref="R11:R13" si="4">S10</f>
        <v>-0.6745471999999999</v>
      </c>
      <c r="S11" s="4">
        <f t="shared" ref="S11:S13" si="5">(R11^2-4)/5</f>
        <v>-0.70899721499443202</v>
      </c>
      <c r="T11" s="9">
        <f t="shared" ref="T11:T13" si="6">ABS((S11-R11)/S11)</f>
        <v>4.8589774777468862E-2</v>
      </c>
    </row>
    <row r="12" spans="3:20" x14ac:dyDescent="0.3">
      <c r="C12" s="7">
        <f t="shared" si="1"/>
        <v>7</v>
      </c>
      <c r="D12" s="4">
        <f t="shared" si="0"/>
        <v>38.653575013298301</v>
      </c>
      <c r="E12" s="7">
        <f t="shared" si="2"/>
        <v>40.520793264551479</v>
      </c>
      <c r="Q12" s="7">
        <f t="shared" si="3"/>
        <v>3</v>
      </c>
      <c r="R12" s="7">
        <f t="shared" si="4"/>
        <v>-0.70899721499443202</v>
      </c>
      <c r="S12" s="4">
        <f t="shared" si="5"/>
        <v>-0.69946458982602777</v>
      </c>
      <c r="T12" s="9">
        <f t="shared" si="6"/>
        <v>1.362845997790285E-2</v>
      </c>
    </row>
    <row r="13" spans="3:20" x14ac:dyDescent="0.3">
      <c r="C13" s="7">
        <f t="shared" si="1"/>
        <v>8</v>
      </c>
      <c r="D13" s="4">
        <f t="shared" si="0"/>
        <v>41.133106786905692</v>
      </c>
      <c r="E13" s="7">
        <f t="shared" si="2"/>
        <v>42.893055881190342</v>
      </c>
      <c r="Q13" s="7">
        <f t="shared" si="3"/>
        <v>4</v>
      </c>
      <c r="R13" s="7">
        <f t="shared" si="4"/>
        <v>-0.69946458982602777</v>
      </c>
      <c r="S13" s="4">
        <f t="shared" si="5"/>
        <v>-0.70214985751590131</v>
      </c>
      <c r="T13" s="9">
        <f t="shared" si="6"/>
        <v>3.8243512565445848E-3</v>
      </c>
    </row>
    <row r="14" spans="3:20" x14ac:dyDescent="0.3">
      <c r="C14" s="7">
        <f t="shared" si="1"/>
        <v>9</v>
      </c>
      <c r="D14" s="4">
        <f t="shared" si="0"/>
        <v>43.196846520053143</v>
      </c>
      <c r="E14" s="7">
        <f t="shared" si="2"/>
        <v>44.829881159973318</v>
      </c>
      <c r="Q14" s="7">
        <f>Q13+1</f>
        <v>5</v>
      </c>
      <c r="R14" s="7">
        <f>S13</f>
        <v>-0.70214985751590131</v>
      </c>
      <c r="S14" s="4">
        <f>(R14^2-4)/5</f>
        <v>-0.70139711551807982</v>
      </c>
      <c r="T14" s="9">
        <f>ABS((S14-R14)/S14)</f>
        <v>1.073203726059649E-3</v>
      </c>
    </row>
    <row r="15" spans="3:20" x14ac:dyDescent="0.3">
      <c r="C15" s="7">
        <f t="shared" si="1"/>
        <v>10</v>
      </c>
      <c r="D15" s="4">
        <f t="shared" si="0"/>
        <v>44.914518272238503</v>
      </c>
      <c r="E15" s="7">
        <f t="shared" si="2"/>
        <v>46.411195190815221</v>
      </c>
      <c r="Q15" s="8">
        <f>Q14+1</f>
        <v>6</v>
      </c>
      <c r="R15" s="8">
        <f>S14</f>
        <v>-0.70139711551807982</v>
      </c>
      <c r="S15" s="5">
        <f>(R15^2-4)/5</f>
        <v>-0.70160841726858347</v>
      </c>
      <c r="T15" s="10">
        <f>ABS((S15-R15)/S15)</f>
        <v>3.0116763896059079E-4</v>
      </c>
    </row>
    <row r="16" spans="3:20" x14ac:dyDescent="0.3">
      <c r="C16" s="7">
        <f t="shared" si="1"/>
        <v>11</v>
      </c>
      <c r="D16" s="4">
        <f t="shared" si="0"/>
        <v>46.344154093493849</v>
      </c>
      <c r="E16" s="7">
        <f t="shared" si="2"/>
        <v>47.702253342280855</v>
      </c>
    </row>
    <row r="17" spans="3:5" x14ac:dyDescent="0.3">
      <c r="C17" s="8">
        <f t="shared" si="1"/>
        <v>12</v>
      </c>
      <c r="D17" s="5">
        <f t="shared" si="0"/>
        <v>47.534054654422377</v>
      </c>
      <c r="E17" s="8">
        <f t="shared" si="2"/>
        <v>48.756333125268952</v>
      </c>
    </row>
  </sheetData>
  <mergeCells count="2">
    <mergeCell ref="Q6:T6"/>
    <mergeCell ref="C2:M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F85F-2714-4086-A9D1-1B5A3FCC197D}">
  <dimension ref="H7:K14"/>
  <sheetViews>
    <sheetView workbookViewId="0">
      <selection activeCell="H7" sqref="H7:K14"/>
    </sheetView>
  </sheetViews>
  <sheetFormatPr defaultRowHeight="14.4" x14ac:dyDescent="0.3"/>
  <cols>
    <col min="1" max="3" width="8.88671875" style="1"/>
    <col min="4" max="4" width="8.88671875" style="1" customWidth="1"/>
    <col min="5" max="8" width="8.88671875" style="1"/>
    <col min="9" max="10" width="12.6640625" style="1" bestFit="1" customWidth="1"/>
    <col min="11" max="11" width="12" style="1" bestFit="1" customWidth="1"/>
    <col min="12" max="16384" width="8.88671875" style="1"/>
  </cols>
  <sheetData>
    <row r="7" spans="8:11" x14ac:dyDescent="0.3">
      <c r="H7" s="11" t="s">
        <v>3</v>
      </c>
      <c r="I7" s="11" t="s">
        <v>4</v>
      </c>
      <c r="J7" s="12" t="s">
        <v>5</v>
      </c>
      <c r="K7" s="11" t="s">
        <v>6</v>
      </c>
    </row>
    <row r="8" spans="8:11" x14ac:dyDescent="0.3">
      <c r="H8" s="7">
        <v>0</v>
      </c>
      <c r="I8" s="7">
        <v>0.2</v>
      </c>
      <c r="J8" s="4">
        <f>(I8^2-4)/5</f>
        <v>-0.79200000000000004</v>
      </c>
      <c r="K8" s="7">
        <f>ABS((J8-I8)/J8)</f>
        <v>1.2525252525252524</v>
      </c>
    </row>
    <row r="9" spans="8:11" x14ac:dyDescent="0.3">
      <c r="H9" s="7">
        <f>H8+1</f>
        <v>1</v>
      </c>
      <c r="I9" s="7">
        <f>J8</f>
        <v>-0.79200000000000004</v>
      </c>
      <c r="J9" s="4">
        <f>(I9^2-4)/5</f>
        <v>-0.6745471999999999</v>
      </c>
      <c r="K9" s="9">
        <f>ABS((J9-I9)/J9)</f>
        <v>0.1741209510616902</v>
      </c>
    </row>
    <row r="10" spans="8:11" x14ac:dyDescent="0.3">
      <c r="H10" s="7">
        <f t="shared" ref="H10:H12" si="0">H9+1</f>
        <v>2</v>
      </c>
      <c r="I10" s="7">
        <f t="shared" ref="I10:I12" si="1">J9</f>
        <v>-0.6745471999999999</v>
      </c>
      <c r="J10" s="4">
        <f t="shared" ref="J10:J12" si="2">(I10^2-4)/5</f>
        <v>-0.70899721499443202</v>
      </c>
      <c r="K10" s="9">
        <f t="shared" ref="K10:K12" si="3">ABS((J10-I10)/J10)</f>
        <v>4.8589774777468862E-2</v>
      </c>
    </row>
    <row r="11" spans="8:11" x14ac:dyDescent="0.3">
      <c r="H11" s="7">
        <f t="shared" si="0"/>
        <v>3</v>
      </c>
      <c r="I11" s="7">
        <f t="shared" si="1"/>
        <v>-0.70899721499443202</v>
      </c>
      <c r="J11" s="4">
        <f t="shared" si="2"/>
        <v>-0.69946458982602777</v>
      </c>
      <c r="K11" s="9">
        <f t="shared" si="3"/>
        <v>1.362845997790285E-2</v>
      </c>
    </row>
    <row r="12" spans="8:11" x14ac:dyDescent="0.3">
      <c r="H12" s="7">
        <f t="shared" si="0"/>
        <v>4</v>
      </c>
      <c r="I12" s="7">
        <f t="shared" si="1"/>
        <v>-0.69946458982602777</v>
      </c>
      <c r="J12" s="4">
        <f t="shared" si="2"/>
        <v>-0.70214985751590131</v>
      </c>
      <c r="K12" s="9">
        <f t="shared" si="3"/>
        <v>3.8243512565445848E-3</v>
      </c>
    </row>
    <row r="13" spans="8:11" x14ac:dyDescent="0.3">
      <c r="H13" s="7">
        <f>H12+1</f>
        <v>5</v>
      </c>
      <c r="I13" s="7">
        <f>J12</f>
        <v>-0.70214985751590131</v>
      </c>
      <c r="J13" s="4">
        <f>(I13^2-4)/5</f>
        <v>-0.70139711551807982</v>
      </c>
      <c r="K13" s="9">
        <f>ABS((J13-I13)/J13)</f>
        <v>1.073203726059649E-3</v>
      </c>
    </row>
    <row r="14" spans="8:11" x14ac:dyDescent="0.3">
      <c r="H14" s="8">
        <f>H13+1</f>
        <v>6</v>
      </c>
      <c r="I14" s="8">
        <f>J13</f>
        <v>-0.70139711551807982</v>
      </c>
      <c r="J14" s="5">
        <f>(I14^2-4)/5</f>
        <v>-0.70160841726858347</v>
      </c>
      <c r="K14" s="10">
        <f>ABS((J14-I14)/J14)</f>
        <v>3.0116763896059079E-4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</dc:creator>
  <cp:lastModifiedBy>ZyL CHAEL</cp:lastModifiedBy>
  <dcterms:created xsi:type="dcterms:W3CDTF">2025-07-21T09:59:32Z</dcterms:created>
  <dcterms:modified xsi:type="dcterms:W3CDTF">2026-03-04T11:24:20Z</dcterms:modified>
</cp:coreProperties>
</file>